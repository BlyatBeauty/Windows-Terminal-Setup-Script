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ha\Terminal_Setup\Script\Tools\"/>
    </mc:Choice>
  </mc:AlternateContent>
  <xr:revisionPtr revIDLastSave="0" documentId="13_ncr:1_{F1DEB4F2-EEC8-4687-B2D9-9E2B784C5ED1}" xr6:coauthVersionLast="47" xr6:coauthVersionMax="47" xr10:uidLastSave="{00000000-0000-0000-0000-000000000000}"/>
  <bookViews>
    <workbookView xWindow="-108" yWindow="-108" windowWidth="23256" windowHeight="12456" xr2:uid="{06300090-960C-4894-A40E-62B4A8A9C80D}"/>
  </bookViews>
  <sheets>
    <sheet name="Package Selection" sheetId="1" r:id="rId1"/>
    <sheet name="Arrays" sheetId="2" r:id="rId2"/>
  </sheets>
  <definedNames>
    <definedName name="CellColour">GET.CELL(38,'Package Selection'!XFD1)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3" i="1"/>
  <c r="E4" i="1"/>
  <c r="E5" i="1"/>
  <c r="E6" i="1"/>
  <c r="B23" i="1"/>
  <c r="B24" i="1"/>
  <c r="B25" i="1"/>
  <c r="B22" i="1"/>
  <c r="B19" i="1"/>
  <c r="B20" i="1"/>
  <c r="B21" i="1"/>
  <c r="B16" i="1" l="1"/>
  <c r="B17" i="1"/>
  <c r="B18" i="1"/>
  <c r="B12" i="1"/>
  <c r="B13" i="1"/>
  <c r="B14" i="1"/>
  <c r="B15" i="1"/>
  <c r="B9" i="1"/>
  <c r="B3" i="1"/>
  <c r="B5" i="1"/>
  <c r="B6" i="1"/>
  <c r="B8" i="1"/>
  <c r="E31" i="1"/>
  <c r="G5" i="1" s="1"/>
  <c r="C5" i="2"/>
  <c r="C4" i="2"/>
  <c r="E8" i="1"/>
</calcChain>
</file>

<file path=xl/sharedStrings.xml><?xml version="1.0" encoding="utf-8"?>
<sst xmlns="http://schemas.openxmlformats.org/spreadsheetml/2006/main" count="88" uniqueCount="58">
  <si>
    <t>Packages</t>
  </si>
  <si>
    <t>geforce-experience</t>
  </si>
  <si>
    <t>Windows Essentials</t>
  </si>
  <si>
    <t>Web Browsers</t>
  </si>
  <si>
    <t>Media</t>
  </si>
  <si>
    <t>Common Programs</t>
  </si>
  <si>
    <t>Gaming</t>
  </si>
  <si>
    <t>Nvidia Drivers</t>
  </si>
  <si>
    <t>Formula bar</t>
  </si>
  <si>
    <t>The final string box should refresh automatically. If it doesn't please refresh it after finishing package selection.</t>
  </si>
  <si>
    <t>Nvidia.GeForceExperience</t>
  </si>
  <si>
    <t>Flags</t>
  </si>
  <si>
    <t xml:space="preserve"> -e  --accept-package-agreements</t>
  </si>
  <si>
    <t>Package ID</t>
  </si>
  <si>
    <t>Select</t>
  </si>
  <si>
    <t>Mozilla.Firefox</t>
  </si>
  <si>
    <t>PowerShell</t>
  </si>
  <si>
    <t>Batch</t>
  </si>
  <si>
    <t xml:space="preserve"> </t>
  </si>
  <si>
    <t>Select script language (Dropdown menu)</t>
  </si>
  <si>
    <t>None</t>
  </si>
  <si>
    <t xml:space="preserve"> ; </t>
  </si>
  <si>
    <t xml:space="preserve"> &amp;&amp; </t>
  </si>
  <si>
    <t>Scripting language</t>
  </si>
  <si>
    <t>Language</t>
  </si>
  <si>
    <t>Delimiter</t>
  </si>
  <si>
    <t>End Result</t>
  </si>
  <si>
    <t>Final string</t>
  </si>
  <si>
    <t>7zip.7zip</t>
  </si>
  <si>
    <t>Microsoft.VCRedist.2015+.x64</t>
  </si>
  <si>
    <t>Microsoft.PowerToys</t>
  </si>
  <si>
    <t>Microsoft.PowerShell</t>
  </si>
  <si>
    <t>VC Redist 2015-2022</t>
  </si>
  <si>
    <t>Google.Chrome</t>
  </si>
  <si>
    <t>VideoLAN.VLC</t>
  </si>
  <si>
    <t>VLC media player</t>
  </si>
  <si>
    <t>SumatraPDF.SumatraPDF</t>
  </si>
  <si>
    <t>DuongDieuPhap.ImageGlass</t>
  </si>
  <si>
    <t>Spotify.Spotify</t>
  </si>
  <si>
    <t>Apple.iTunes</t>
  </si>
  <si>
    <t>Notepad++.Notepad++</t>
  </si>
  <si>
    <t>Dropbox.Dropbox</t>
  </si>
  <si>
    <t>KeePassXCTeam.KeePassXC</t>
  </si>
  <si>
    <t>WinDirStat.WinDirStat</t>
  </si>
  <si>
    <t>File-New-Project.EarTrumpet</t>
  </si>
  <si>
    <t>qBittorrent.qBittorrent</t>
  </si>
  <si>
    <t>Zoom.Zoom</t>
  </si>
  <si>
    <t>Rainmeter.Rainmeter</t>
  </si>
  <si>
    <t>Valve.Steam</t>
  </si>
  <si>
    <t>Discord.Discord</t>
  </si>
  <si>
    <t>EpicGames.EpicGamesLauncher</t>
  </si>
  <si>
    <t>Epic Games Launcher</t>
  </si>
  <si>
    <t>Mojang.MinecraftLauncher</t>
  </si>
  <si>
    <t>Minecraft Launcher</t>
  </si>
  <si>
    <t>Adobe.Acrobat.Reader.64-bit</t>
  </si>
  <si>
    <t>Adobe Reader</t>
  </si>
  <si>
    <t>Chocolatey</t>
  </si>
  <si>
    <t>Chocolatey.Chocolatey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</si>
</sst>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3" borderId="0" applyNumberFormat="0" applyBorder="0" applyAlignment="0" applyProtection="0"/>
  </cellStyleXfs>
  <cellXfs count="50">
    <xf numFmtId="0" fontId="0" fillId="0" borderId="0" xfId="0"/>
    <xf numFmtId="0" fontId="0" fillId="0" borderId="0" xfId="0" quotePrefix="1"/>
    <xf numFmtId="0" fontId="0" fillId="0" borderId="3" xfId="0" applyBorder="1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6" xfId="0" applyBorder="1"/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22" xfId="0" applyBorder="1"/>
    <xf numFmtId="0" fontId="0" fillId="0" borderId="1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23" xfId="0" applyFont="1" applyBorder="1"/>
    <xf numFmtId="0" fontId="3" fillId="0" borderId="21" xfId="0" applyFont="1" applyBorder="1"/>
    <xf numFmtId="0" fontId="3" fillId="0" borderId="20" xfId="0" applyFont="1" applyBorder="1"/>
    <xf numFmtId="0" fontId="3" fillId="0" borderId="24" xfId="0" applyFont="1" applyBorder="1"/>
    <xf numFmtId="0" fontId="3" fillId="0" borderId="25" xfId="0" applyFont="1" applyBorder="1"/>
    <xf numFmtId="0" fontId="0" fillId="0" borderId="27" xfId="0" applyBorder="1"/>
    <xf numFmtId="0" fontId="1" fillId="2" borderId="9" xfId="1" applyBorder="1"/>
    <xf numFmtId="0" fontId="0" fillId="0" borderId="29" xfId="0" applyBorder="1"/>
    <xf numFmtId="0" fontId="0" fillId="0" borderId="5" xfId="0" applyBorder="1"/>
    <xf numFmtId="0" fontId="0" fillId="0" borderId="7" xfId="0" applyBorder="1"/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4" fillId="3" borderId="15" xfId="2" applyBorder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2" xfId="0" applyBorder="1"/>
    <xf numFmtId="0" fontId="0" fillId="0" borderId="33" xfId="0" applyBorder="1" applyAlignment="1">
      <alignment horizontal="center" vertical="center"/>
    </xf>
    <xf numFmtId="0" fontId="4" fillId="3" borderId="2" xfId="2" applyBorder="1" applyAlignment="1">
      <alignment vertical="center"/>
    </xf>
    <xf numFmtId="0" fontId="1" fillId="2" borderId="26" xfId="1" applyBorder="1"/>
    <xf numFmtId="0" fontId="0" fillId="0" borderId="3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" fillId="2" borderId="0" xfId="1" applyBorder="1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#REF!" lockText="1" noThreeD="1"/>
</file>

<file path=xl/ctrlProps/ctrlProp2.xml><?xml version="1.0" encoding="utf-8"?>
<formControlPr xmlns="http://schemas.microsoft.com/office/spreadsheetml/2009/9/main" objectType="CheckBox" fmlaLink="#REF!" lockText="1" noThreeD="1"/>
</file>

<file path=xl/ctrlProps/ctrlProp3.xml><?xml version="1.0" encoding="utf-8"?>
<formControlPr xmlns="http://schemas.microsoft.com/office/spreadsheetml/2009/9/main" objectType="CheckBox" fmlaLink="$D$3" lockText="1" noThreeD="1"/>
</file>

<file path=xl/ctrlProps/ctrlProp4.xml><?xml version="1.0" encoding="utf-8"?>
<formControlPr xmlns="http://schemas.microsoft.com/office/spreadsheetml/2009/9/main" objectType="CheckBox" fmlaLink="$D$4" lockText="1" noThreeD="1"/>
</file>

<file path=xl/ctrlProps/ctrlProp5.xml><?xml version="1.0" encoding="utf-8"?>
<formControlPr xmlns="http://schemas.microsoft.com/office/spreadsheetml/2009/9/main" objectType="CheckBox" fmlaLink="$D$5" lockText="1" noThreeD="1"/>
</file>

<file path=xl/ctrlProps/ctrlProp6.xml><?xml version="1.0" encoding="utf-8"?>
<formControlPr xmlns="http://schemas.microsoft.com/office/spreadsheetml/2009/9/main" objectType="CheckBox" fmlaLink="$D$6" lockText="1" noThreeD="1"/>
</file>

<file path=xl/ctrlProps/ctrlProp7.xml><?xml version="1.0" encoding="utf-8"?>
<formControlPr xmlns="http://schemas.microsoft.com/office/spreadsheetml/2009/9/main" objectType="CheckBox" fmlaLink="$D$8" lockText="1" noThreeD="1"/>
</file>

<file path=xl/ctrlProps/ctrlProp8.xml><?xml version="1.0" encoding="utf-8"?>
<formControlPr xmlns="http://schemas.microsoft.com/office/spreadsheetml/2009/9/main" objectType="CheckBox" fmlaLink="$D$9" lockText="1" noThreeD="1"/>
</file>

<file path=xl/ctrlProps/ctrlProp9.xml><?xml version="1.0" encoding="utf-8"?>
<formControlPr xmlns="http://schemas.microsoft.com/office/spreadsheetml/2009/9/main" objectType="CheckBox" fmlaLink="$D$10" lockText="1" noThreeD="1"/>
</file>

<file path=xl/ctrlProps/ctrlProp10.xml><?xml version="1.0" encoding="utf-8"?>
<formControlPr xmlns="http://schemas.microsoft.com/office/spreadsheetml/2009/9/main" objectType="CheckBox" fmlaLink="$D$12" lockText="1" noThreeD="1"/>
</file>

<file path=xl/ctrlProps/ctrlProp11.xml><?xml version="1.0" encoding="utf-8"?>
<formControlPr xmlns="http://schemas.microsoft.com/office/spreadsheetml/2009/9/main" objectType="CheckBox" fmlaLink="$D$13" lockText="1" noThreeD="1"/>
</file>

<file path=xl/ctrlProps/ctrlProp12.xml><?xml version="1.0" encoding="utf-8"?>
<formControlPr xmlns="http://schemas.microsoft.com/office/spreadsheetml/2009/9/main" objectType="CheckBox" fmlaLink="$D$14" lockText="1" noThreeD="1"/>
</file>

<file path=xl/ctrlProps/ctrlProp13.xml><?xml version="1.0" encoding="utf-8"?>
<formControlPr xmlns="http://schemas.microsoft.com/office/spreadsheetml/2009/9/main" objectType="CheckBox" fmlaLink="$D$15" lockText="1" noThreeD="1"/>
</file>

<file path=xl/ctrlProps/ctrlProp14.xml><?xml version="1.0" encoding="utf-8"?>
<formControlPr xmlns="http://schemas.microsoft.com/office/spreadsheetml/2009/9/main" objectType="CheckBox" fmlaLink="$D$16" lockText="1" noThreeD="1"/>
</file>

<file path=xl/ctrlProps/ctrlProp15.xml><?xml version="1.0" encoding="utf-8"?>
<formControlPr xmlns="http://schemas.microsoft.com/office/spreadsheetml/2009/9/main" objectType="CheckBox" fmlaLink="$D$17" lockText="1" noThreeD="1"/>
</file>

<file path=xl/ctrlProps/ctrlProp16.xml><?xml version="1.0" encoding="utf-8"?>
<formControlPr xmlns="http://schemas.microsoft.com/office/spreadsheetml/2009/9/main" objectType="CheckBox" fmlaLink="$D$18" lockText="1" noThreeD="1"/>
</file>

<file path=xl/ctrlProps/ctrlProp17.xml><?xml version="1.0" encoding="utf-8"?>
<formControlPr xmlns="http://schemas.microsoft.com/office/spreadsheetml/2009/9/main" objectType="CheckBox" fmlaLink="$D$19" lockText="1" noThreeD="1"/>
</file>

<file path=xl/ctrlProps/ctrlProp18.xml><?xml version="1.0" encoding="utf-8"?>
<formControlPr xmlns="http://schemas.microsoft.com/office/spreadsheetml/2009/9/main" objectType="CheckBox" fmlaLink="$D$20" lockText="1" noThreeD="1"/>
</file>

<file path=xl/ctrlProps/ctrlProp19.xml><?xml version="1.0" encoding="utf-8"?>
<formControlPr xmlns="http://schemas.microsoft.com/office/spreadsheetml/2009/9/main" objectType="CheckBox" fmlaLink="$D$21" lockText="1" noThreeD="1"/>
</file>

<file path=xl/ctrlProps/ctrlProp20.xml><?xml version="1.0" encoding="utf-8"?>
<formControlPr xmlns="http://schemas.microsoft.com/office/spreadsheetml/2009/9/main" objectType="CheckBox" fmlaLink="$D$22" lockText="1" noThreeD="1"/>
</file>

<file path=xl/ctrlProps/ctrlProp21.xml><?xml version="1.0" encoding="utf-8"?>
<formControlPr xmlns="http://schemas.microsoft.com/office/spreadsheetml/2009/9/main" objectType="CheckBox" fmlaLink="$D$23" lockText="1" noThreeD="1"/>
</file>

<file path=xl/ctrlProps/ctrlProp22.xml><?xml version="1.0" encoding="utf-8"?>
<formControlPr xmlns="http://schemas.microsoft.com/office/spreadsheetml/2009/9/main" objectType="CheckBox" fmlaLink="$D$24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$D$26" lockText="1" noThreeD="1"/>
</file>

<file path=xl/ctrlProps/ctrlProp25.xml><?xml version="1.0" encoding="utf-8"?>
<formControlPr xmlns="http://schemas.microsoft.com/office/spreadsheetml/2009/9/main" objectType="CheckBox" fmlaLink="$D$27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$D$28" lockText="1" noThreeD="1"/>
</file>

<file path=xl/ctrlProps/ctrlProp28.xml><?xml version="1.0" encoding="utf-8"?>
<formControlPr xmlns="http://schemas.microsoft.com/office/spreadsheetml/2009/9/main" objectType="CheckBox" fmlaLink="$D$25" lockText="1" noThreeD="1"/>
</file>

<file path=xl/ctrlProps/ctrlProp29.xml><?xml version="1.0" encoding="utf-8"?>
<formControlPr xmlns="http://schemas.microsoft.com/office/spreadsheetml/2009/9/main" objectType="CheckBox" fmlaLink="$D$11" lockText="1" noThreeD="1"/>
</file>

<file path=xl/ctrlProps/ctrlProp30.xml><?xml version="1.0" encoding="utf-8"?>
<formControlPr xmlns="http://schemas.microsoft.com/office/spreadsheetml/2009/9/main" objectType="CheckBox" fmlaLink="$D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</xdr:row>
          <xdr:rowOff>0</xdr:rowOff>
        </xdr:from>
        <xdr:to>
          <xdr:col>3</xdr:col>
          <xdr:colOff>388620</xdr:colOff>
          <xdr:row>3</xdr:row>
          <xdr:rowOff>38100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</xdr:row>
          <xdr:rowOff>0</xdr:rowOff>
        </xdr:from>
        <xdr:to>
          <xdr:col>3</xdr:col>
          <xdr:colOff>388620</xdr:colOff>
          <xdr:row>3</xdr:row>
          <xdr:rowOff>38100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</xdr:row>
          <xdr:rowOff>0</xdr:rowOff>
        </xdr:from>
        <xdr:to>
          <xdr:col>3</xdr:col>
          <xdr:colOff>388620</xdr:colOff>
          <xdr:row>3</xdr:row>
          <xdr:rowOff>30480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</xdr:row>
          <xdr:rowOff>175260</xdr:rowOff>
        </xdr:from>
        <xdr:to>
          <xdr:col>3</xdr:col>
          <xdr:colOff>388620</xdr:colOff>
          <xdr:row>4</xdr:row>
          <xdr:rowOff>15240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3</xdr:row>
          <xdr:rowOff>175260</xdr:rowOff>
        </xdr:from>
        <xdr:to>
          <xdr:col>3</xdr:col>
          <xdr:colOff>388620</xdr:colOff>
          <xdr:row>5</xdr:row>
          <xdr:rowOff>22860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4</xdr:row>
          <xdr:rowOff>175260</xdr:rowOff>
        </xdr:from>
        <xdr:to>
          <xdr:col>3</xdr:col>
          <xdr:colOff>388620</xdr:colOff>
          <xdr:row>6</xdr:row>
          <xdr:rowOff>22860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6</xdr:row>
          <xdr:rowOff>160020</xdr:rowOff>
        </xdr:from>
        <xdr:to>
          <xdr:col>3</xdr:col>
          <xdr:colOff>388620</xdr:colOff>
          <xdr:row>8</xdr:row>
          <xdr:rowOff>15240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7</xdr:row>
          <xdr:rowOff>175260</xdr:rowOff>
        </xdr:from>
        <xdr:to>
          <xdr:col>3</xdr:col>
          <xdr:colOff>388620</xdr:colOff>
          <xdr:row>9</xdr:row>
          <xdr:rowOff>30480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8</xdr:row>
          <xdr:rowOff>175260</xdr:rowOff>
        </xdr:from>
        <xdr:to>
          <xdr:col>3</xdr:col>
          <xdr:colOff>388620</xdr:colOff>
          <xdr:row>10</xdr:row>
          <xdr:rowOff>30480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10</xdr:row>
          <xdr:rowOff>160020</xdr:rowOff>
        </xdr:from>
        <xdr:to>
          <xdr:col>3</xdr:col>
          <xdr:colOff>388620</xdr:colOff>
          <xdr:row>12</xdr:row>
          <xdr:rowOff>15240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11</xdr:row>
          <xdr:rowOff>175260</xdr:rowOff>
        </xdr:from>
        <xdr:to>
          <xdr:col>3</xdr:col>
          <xdr:colOff>388620</xdr:colOff>
          <xdr:row>13</xdr:row>
          <xdr:rowOff>30480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12</xdr:row>
          <xdr:rowOff>175260</xdr:rowOff>
        </xdr:from>
        <xdr:to>
          <xdr:col>3</xdr:col>
          <xdr:colOff>388620</xdr:colOff>
          <xdr:row>14</xdr:row>
          <xdr:rowOff>30480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13</xdr:row>
          <xdr:rowOff>175260</xdr:rowOff>
        </xdr:from>
        <xdr:to>
          <xdr:col>3</xdr:col>
          <xdr:colOff>388620</xdr:colOff>
          <xdr:row>15</xdr:row>
          <xdr:rowOff>38100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14</xdr:row>
          <xdr:rowOff>182880</xdr:rowOff>
        </xdr:from>
        <xdr:to>
          <xdr:col>3</xdr:col>
          <xdr:colOff>388620</xdr:colOff>
          <xdr:row>16</xdr:row>
          <xdr:rowOff>38100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15</xdr:row>
          <xdr:rowOff>175260</xdr:rowOff>
        </xdr:from>
        <xdr:to>
          <xdr:col>3</xdr:col>
          <xdr:colOff>388620</xdr:colOff>
          <xdr:row>17</xdr:row>
          <xdr:rowOff>38100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16</xdr:row>
          <xdr:rowOff>175260</xdr:rowOff>
        </xdr:from>
        <xdr:to>
          <xdr:col>3</xdr:col>
          <xdr:colOff>388620</xdr:colOff>
          <xdr:row>18</xdr:row>
          <xdr:rowOff>38100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17</xdr:row>
          <xdr:rowOff>175260</xdr:rowOff>
        </xdr:from>
        <xdr:to>
          <xdr:col>3</xdr:col>
          <xdr:colOff>388620</xdr:colOff>
          <xdr:row>19</xdr:row>
          <xdr:rowOff>38100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18</xdr:row>
          <xdr:rowOff>175260</xdr:rowOff>
        </xdr:from>
        <xdr:to>
          <xdr:col>3</xdr:col>
          <xdr:colOff>388620</xdr:colOff>
          <xdr:row>20</xdr:row>
          <xdr:rowOff>38100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19</xdr:row>
          <xdr:rowOff>175260</xdr:rowOff>
        </xdr:from>
        <xdr:to>
          <xdr:col>3</xdr:col>
          <xdr:colOff>388620</xdr:colOff>
          <xdr:row>21</xdr:row>
          <xdr:rowOff>38100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20</xdr:row>
          <xdr:rowOff>175260</xdr:rowOff>
        </xdr:from>
        <xdr:to>
          <xdr:col>3</xdr:col>
          <xdr:colOff>388620</xdr:colOff>
          <xdr:row>22</xdr:row>
          <xdr:rowOff>38100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21</xdr:row>
          <xdr:rowOff>175260</xdr:rowOff>
        </xdr:from>
        <xdr:to>
          <xdr:col>3</xdr:col>
          <xdr:colOff>388620</xdr:colOff>
          <xdr:row>23</xdr:row>
          <xdr:rowOff>38100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22</xdr:row>
          <xdr:rowOff>175260</xdr:rowOff>
        </xdr:from>
        <xdr:to>
          <xdr:col>3</xdr:col>
          <xdr:colOff>388620</xdr:colOff>
          <xdr:row>24</xdr:row>
          <xdr:rowOff>38100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24</xdr:row>
          <xdr:rowOff>175260</xdr:rowOff>
        </xdr:from>
        <xdr:to>
          <xdr:col>3</xdr:col>
          <xdr:colOff>388620</xdr:colOff>
          <xdr:row>26</xdr:row>
          <xdr:rowOff>30480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25</xdr:row>
          <xdr:rowOff>0</xdr:rowOff>
        </xdr:from>
        <xdr:to>
          <xdr:col>3</xdr:col>
          <xdr:colOff>388620</xdr:colOff>
          <xdr:row>26</xdr:row>
          <xdr:rowOff>38100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25</xdr:row>
          <xdr:rowOff>175260</xdr:rowOff>
        </xdr:from>
        <xdr:to>
          <xdr:col>3</xdr:col>
          <xdr:colOff>388620</xdr:colOff>
          <xdr:row>27</xdr:row>
          <xdr:rowOff>30480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26</xdr:row>
          <xdr:rowOff>175260</xdr:rowOff>
        </xdr:from>
        <xdr:to>
          <xdr:col>3</xdr:col>
          <xdr:colOff>388620</xdr:colOff>
          <xdr:row>28</xdr:row>
          <xdr:rowOff>30480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27</xdr:row>
          <xdr:rowOff>0</xdr:rowOff>
        </xdr:from>
        <xdr:to>
          <xdr:col>3</xdr:col>
          <xdr:colOff>388620</xdr:colOff>
          <xdr:row>28</xdr:row>
          <xdr:rowOff>38100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23</xdr:row>
          <xdr:rowOff>167640</xdr:rowOff>
        </xdr:from>
        <xdr:to>
          <xdr:col>3</xdr:col>
          <xdr:colOff>388620</xdr:colOff>
          <xdr:row>25</xdr:row>
          <xdr:rowOff>38100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121920</xdr:rowOff>
    </xdr:to>
    <xdr:sp macro="" textlink="">
      <xdr:nvSpPr>
        <xdr:cNvPr id="1079" name="AutoShape 55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>
          <a:spLocks noChangeAspect="1" noChangeArrowheads="1"/>
        </xdr:cNvSpPr>
      </xdr:nvSpPr>
      <xdr:spPr bwMode="auto">
        <a:xfrm>
          <a:off x="4099560" y="4747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9</xdr:row>
          <xdr:rowOff>167640</xdr:rowOff>
        </xdr:from>
        <xdr:to>
          <xdr:col>3</xdr:col>
          <xdr:colOff>388620</xdr:colOff>
          <xdr:row>11</xdr:row>
          <xdr:rowOff>22860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5</xdr:row>
          <xdr:rowOff>160020</xdr:rowOff>
        </xdr:from>
        <xdr:to>
          <xdr:col>3</xdr:col>
          <xdr:colOff>388620</xdr:colOff>
          <xdr:row>7</xdr:row>
          <xdr:rowOff>15240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DBCE-CB1E-4B66-B4C0-5BCB0E97056B}">
  <sheetPr codeName="Sheet1"/>
  <dimension ref="A1:M36"/>
  <sheetViews>
    <sheetView tabSelected="1" zoomScale="85" zoomScaleNormal="85" workbookViewId="0">
      <selection activeCell="A32" sqref="A32"/>
    </sheetView>
  </sheetViews>
  <sheetFormatPr defaultRowHeight="14.4" x14ac:dyDescent="0.3"/>
  <cols>
    <col min="1" max="1" width="36.88671875" customWidth="1"/>
    <col min="2" max="2" width="30.21875" customWidth="1"/>
    <col min="3" max="3" width="26.88671875" customWidth="1"/>
    <col min="4" max="4" width="7.88671875" customWidth="1"/>
    <col min="5" max="5" width="68" customWidth="1"/>
    <col min="6" max="6" width="7.33203125" customWidth="1"/>
    <col min="7" max="7" width="49.77734375" customWidth="1"/>
    <col min="8" max="8" width="8.109375" customWidth="1"/>
    <col min="10" max="10" width="19.33203125" customWidth="1"/>
    <col min="11" max="11" width="23.21875" customWidth="1"/>
    <col min="12" max="12" width="14.6640625" customWidth="1"/>
    <col min="13" max="13" width="27.77734375" customWidth="1"/>
  </cols>
  <sheetData>
    <row r="1" spans="1:13" ht="15" thickBot="1" x14ac:dyDescent="0.35"/>
    <row r="2" spans="1:13" ht="39" customHeight="1" thickBot="1" x14ac:dyDescent="0.35">
      <c r="A2" s="5"/>
      <c r="B2" s="6" t="s">
        <v>0</v>
      </c>
      <c r="C2" s="13" t="s">
        <v>13</v>
      </c>
      <c r="D2" s="9" t="s">
        <v>14</v>
      </c>
      <c r="E2" s="7" t="s">
        <v>8</v>
      </c>
      <c r="G2" s="47" t="s">
        <v>9</v>
      </c>
    </row>
    <row r="3" spans="1:13" ht="15" customHeight="1" thickBot="1" x14ac:dyDescent="0.35">
      <c r="A3" s="44" t="s">
        <v>2</v>
      </c>
      <c r="B3" s="34" t="str">
        <f>RIGHT(C3,LEN(C3)-SEARCH(".",C3))</f>
        <v>7zip</v>
      </c>
      <c r="C3" s="23" t="s">
        <v>28</v>
      </c>
      <c r="D3" s="15" t="b">
        <v>0</v>
      </c>
      <c r="E3" s="21" t="str">
        <f t="shared" ref="E3:E28" si="0">IF(D3=TRUE,(_xlfn.TEXTJOIN("",TRUE,"winget install --id ",C3,$B$30)),"")</f>
        <v/>
      </c>
      <c r="F3" t="s">
        <v>18</v>
      </c>
      <c r="G3" s="48"/>
    </row>
    <row r="4" spans="1:13" ht="15" thickBot="1" x14ac:dyDescent="0.35">
      <c r="A4" s="45"/>
      <c r="B4" s="14" t="s">
        <v>32</v>
      </c>
      <c r="C4" s="2" t="s">
        <v>29</v>
      </c>
      <c r="D4" s="16" t="b">
        <v>0</v>
      </c>
      <c r="E4" s="21" t="str">
        <f t="shared" si="0"/>
        <v/>
      </c>
      <c r="F4" t="s">
        <v>18</v>
      </c>
      <c r="G4" s="4" t="s">
        <v>27</v>
      </c>
      <c r="I4" s="1"/>
    </row>
    <row r="5" spans="1:13" ht="15" thickBot="1" x14ac:dyDescent="0.35">
      <c r="A5" s="45"/>
      <c r="B5" s="35" t="str">
        <f t="shared" ref="B5:B6" si="1">RIGHT(C5,LEN(C5)-SEARCH(".",C5))</f>
        <v>PowerToys</v>
      </c>
      <c r="C5" t="s">
        <v>30</v>
      </c>
      <c r="D5" s="16" t="b">
        <v>0</v>
      </c>
      <c r="E5" s="21" t="str">
        <f t="shared" si="0"/>
        <v/>
      </c>
      <c r="F5" t="s">
        <v>18</v>
      </c>
      <c r="G5" s="32" t="str">
        <f>E31</f>
        <v xml:space="preserve"> </v>
      </c>
      <c r="H5" t="s">
        <v>18</v>
      </c>
    </row>
    <row r="6" spans="1:13" x14ac:dyDescent="0.3">
      <c r="A6" s="45"/>
      <c r="B6" s="14" t="str">
        <f t="shared" si="1"/>
        <v>PowerShell</v>
      </c>
      <c r="C6" s="2" t="s">
        <v>31</v>
      </c>
      <c r="D6" s="16" t="b">
        <v>0</v>
      </c>
      <c r="E6" s="21" t="str">
        <f t="shared" si="0"/>
        <v/>
      </c>
      <c r="F6" t="s">
        <v>18</v>
      </c>
      <c r="L6" s="40"/>
      <c r="M6" s="40"/>
    </row>
    <row r="7" spans="1:13" x14ac:dyDescent="0.3">
      <c r="A7" s="46"/>
      <c r="B7" s="36" t="s">
        <v>56</v>
      </c>
      <c r="C7" t="s">
        <v>57</v>
      </c>
      <c r="D7" s="17" t="b">
        <v>0</v>
      </c>
      <c r="E7" s="21" t="str">
        <f t="shared" si="0"/>
        <v/>
      </c>
      <c r="L7" s="10"/>
      <c r="M7" s="10"/>
    </row>
    <row r="8" spans="1:13" x14ac:dyDescent="0.3">
      <c r="A8" s="41" t="s">
        <v>3</v>
      </c>
      <c r="B8" s="37" t="str">
        <f>RIGHT(C8,LEN(C8)-SEARCH(".",C8))</f>
        <v>Firefox</v>
      </c>
      <c r="C8" s="30" t="s">
        <v>15</v>
      </c>
      <c r="D8" s="16" t="b">
        <v>0</v>
      </c>
      <c r="E8" s="21" t="str">
        <f>IF(D8=TRUE,(_xlfn.TEXTJOIN("",TRUE,"winget install --id ",C8,$B$30)),"")</f>
        <v/>
      </c>
      <c r="F8" t="s">
        <v>18</v>
      </c>
    </row>
    <row r="9" spans="1:13" x14ac:dyDescent="0.3">
      <c r="A9" s="43"/>
      <c r="B9" s="38" t="str">
        <f>RIGHT(C9,LEN(C9)-SEARCH(".",C9))</f>
        <v>Chrome</v>
      </c>
      <c r="C9" s="11" t="s">
        <v>33</v>
      </c>
      <c r="D9" s="17" t="b">
        <v>0</v>
      </c>
      <c r="E9" s="21" t="str">
        <f t="shared" si="0"/>
        <v/>
      </c>
      <c r="F9" t="s">
        <v>18</v>
      </c>
    </row>
    <row r="10" spans="1:13" x14ac:dyDescent="0.3">
      <c r="A10" s="41" t="s">
        <v>4</v>
      </c>
      <c r="B10" s="37" t="s">
        <v>35</v>
      </c>
      <c r="C10" t="s">
        <v>34</v>
      </c>
      <c r="D10" s="16" t="b">
        <v>0</v>
      </c>
      <c r="E10" s="21" t="str">
        <f t="shared" si="0"/>
        <v/>
      </c>
      <c r="F10" t="s">
        <v>18</v>
      </c>
    </row>
    <row r="11" spans="1:13" x14ac:dyDescent="0.3">
      <c r="A11" s="42"/>
      <c r="B11" s="38" t="s">
        <v>55</v>
      </c>
      <c r="C11" t="s">
        <v>54</v>
      </c>
      <c r="D11" s="16" t="b">
        <v>0</v>
      </c>
      <c r="E11" s="21" t="str">
        <f t="shared" si="0"/>
        <v/>
      </c>
      <c r="F11" t="s">
        <v>18</v>
      </c>
    </row>
    <row r="12" spans="1:13" x14ac:dyDescent="0.3">
      <c r="A12" s="42"/>
      <c r="B12" s="38" t="str">
        <f t="shared" ref="B12:B25" si="2">RIGHT(C12,LEN(C12)-SEARCH(".",C12))</f>
        <v>SumatraPDF</v>
      </c>
      <c r="C12" t="s">
        <v>36</v>
      </c>
      <c r="D12" s="16" t="b">
        <v>0</v>
      </c>
      <c r="E12" s="21" t="str">
        <f t="shared" si="0"/>
        <v/>
      </c>
      <c r="F12" t="s">
        <v>18</v>
      </c>
    </row>
    <row r="13" spans="1:13" x14ac:dyDescent="0.3">
      <c r="A13" s="42"/>
      <c r="B13" s="38" t="str">
        <f t="shared" si="2"/>
        <v>ImageGlass</v>
      </c>
      <c r="C13" t="s">
        <v>37</v>
      </c>
      <c r="D13" s="16" t="b">
        <v>0</v>
      </c>
      <c r="E13" s="21" t="str">
        <f t="shared" si="0"/>
        <v/>
      </c>
      <c r="F13" t="s">
        <v>18</v>
      </c>
    </row>
    <row r="14" spans="1:13" x14ac:dyDescent="0.3">
      <c r="A14" s="42"/>
      <c r="B14" s="38" t="str">
        <f t="shared" si="2"/>
        <v>Spotify</v>
      </c>
      <c r="C14" t="s">
        <v>38</v>
      </c>
      <c r="D14" s="16" t="b">
        <v>0</v>
      </c>
      <c r="E14" s="21" t="str">
        <f t="shared" si="0"/>
        <v/>
      </c>
      <c r="F14" t="s">
        <v>18</v>
      </c>
    </row>
    <row r="15" spans="1:13" x14ac:dyDescent="0.3">
      <c r="A15" s="43"/>
      <c r="B15" s="38" t="str">
        <f t="shared" si="2"/>
        <v>iTunes</v>
      </c>
      <c r="C15" t="s">
        <v>39</v>
      </c>
      <c r="D15" s="16" t="b">
        <v>0</v>
      </c>
      <c r="E15" s="21" t="str">
        <f t="shared" si="0"/>
        <v/>
      </c>
      <c r="F15" t="s">
        <v>18</v>
      </c>
    </row>
    <row r="16" spans="1:13" x14ac:dyDescent="0.3">
      <c r="A16" s="41" t="s">
        <v>5</v>
      </c>
      <c r="B16" s="37" t="str">
        <f t="shared" si="2"/>
        <v>Notepad++</v>
      </c>
      <c r="C16" s="30" t="s">
        <v>40</v>
      </c>
      <c r="D16" s="18" t="b">
        <v>0</v>
      </c>
      <c r="E16" s="21" t="str">
        <f t="shared" si="0"/>
        <v/>
      </c>
      <c r="F16" t="s">
        <v>18</v>
      </c>
    </row>
    <row r="17" spans="1:7" x14ac:dyDescent="0.3">
      <c r="A17" s="42"/>
      <c r="B17" s="38" t="str">
        <f t="shared" si="2"/>
        <v>Dropbox</v>
      </c>
      <c r="C17" t="s">
        <v>41</v>
      </c>
      <c r="D17" s="16" t="b">
        <v>0</v>
      </c>
      <c r="E17" s="21" t="str">
        <f t="shared" si="0"/>
        <v/>
      </c>
      <c r="F17" t="s">
        <v>18</v>
      </c>
    </row>
    <row r="18" spans="1:7" ht="14.4" customHeight="1" x14ac:dyDescent="0.3">
      <c r="A18" s="42"/>
      <c r="B18" s="38" t="str">
        <f t="shared" si="2"/>
        <v>KeePassXC</v>
      </c>
      <c r="C18" t="s">
        <v>42</v>
      </c>
      <c r="D18" s="16" t="b">
        <v>0</v>
      </c>
      <c r="E18" s="21" t="str">
        <f t="shared" si="0"/>
        <v/>
      </c>
      <c r="F18" t="s">
        <v>18</v>
      </c>
    </row>
    <row r="19" spans="1:7" x14ac:dyDescent="0.3">
      <c r="A19" s="42"/>
      <c r="B19" s="38" t="str">
        <f t="shared" si="2"/>
        <v>WinDirStat</v>
      </c>
      <c r="C19" t="s">
        <v>43</v>
      </c>
      <c r="D19" s="16" t="b">
        <v>0</v>
      </c>
      <c r="E19" s="21" t="str">
        <f t="shared" si="0"/>
        <v/>
      </c>
      <c r="F19" t="s">
        <v>18</v>
      </c>
    </row>
    <row r="20" spans="1:7" ht="14.4" customHeight="1" x14ac:dyDescent="0.3">
      <c r="A20" s="42"/>
      <c r="B20" s="38" t="str">
        <f t="shared" si="2"/>
        <v>EarTrumpet</v>
      </c>
      <c r="C20" t="s">
        <v>44</v>
      </c>
      <c r="D20" s="16" t="b">
        <v>0</v>
      </c>
      <c r="E20" s="21" t="str">
        <f t="shared" si="0"/>
        <v/>
      </c>
      <c r="F20" t="s">
        <v>18</v>
      </c>
    </row>
    <row r="21" spans="1:7" x14ac:dyDescent="0.3">
      <c r="A21" s="42"/>
      <c r="B21" s="38" t="str">
        <f t="shared" si="2"/>
        <v>qBittorrent</v>
      </c>
      <c r="C21" t="s">
        <v>45</v>
      </c>
      <c r="D21" s="16" t="b">
        <v>0</v>
      </c>
      <c r="E21" s="21" t="str">
        <f t="shared" si="0"/>
        <v/>
      </c>
      <c r="F21" t="s">
        <v>18</v>
      </c>
    </row>
    <row r="22" spans="1:7" x14ac:dyDescent="0.3">
      <c r="A22" s="42"/>
      <c r="B22" s="38" t="str">
        <f t="shared" si="2"/>
        <v>Zoom</v>
      </c>
      <c r="C22" t="s">
        <v>46</v>
      </c>
      <c r="D22" s="16" t="b">
        <v>0</v>
      </c>
      <c r="E22" s="21" t="str">
        <f t="shared" si="0"/>
        <v/>
      </c>
      <c r="F22" t="s">
        <v>18</v>
      </c>
    </row>
    <row r="23" spans="1:7" x14ac:dyDescent="0.3">
      <c r="A23" s="43"/>
      <c r="B23" s="36" t="str">
        <f t="shared" si="2"/>
        <v>Rainmeter</v>
      </c>
      <c r="C23" s="11" t="s">
        <v>47</v>
      </c>
      <c r="D23" s="17" t="b">
        <v>0</v>
      </c>
      <c r="E23" s="21" t="str">
        <f t="shared" si="0"/>
        <v/>
      </c>
      <c r="F23" t="s">
        <v>18</v>
      </c>
    </row>
    <row r="24" spans="1:7" x14ac:dyDescent="0.3">
      <c r="A24" s="41" t="s">
        <v>6</v>
      </c>
      <c r="B24" s="37" t="str">
        <f t="shared" si="2"/>
        <v>Steam</v>
      </c>
      <c r="C24" s="22" t="s">
        <v>48</v>
      </c>
      <c r="D24" s="16" t="b">
        <v>0</v>
      </c>
      <c r="E24" s="21" t="str">
        <f t="shared" si="0"/>
        <v/>
      </c>
      <c r="F24" t="s">
        <v>18</v>
      </c>
    </row>
    <row r="25" spans="1:7" ht="14.4" customHeight="1" x14ac:dyDescent="0.3">
      <c r="A25" s="42"/>
      <c r="B25" s="38" t="str">
        <f t="shared" si="2"/>
        <v>Discord</v>
      </c>
      <c r="C25" s="12" t="s">
        <v>49</v>
      </c>
      <c r="D25" s="16" t="b">
        <v>0</v>
      </c>
      <c r="E25" s="21" t="str">
        <f t="shared" si="0"/>
        <v/>
      </c>
      <c r="F25" t="s">
        <v>18</v>
      </c>
    </row>
    <row r="26" spans="1:7" x14ac:dyDescent="0.3">
      <c r="A26" s="42"/>
      <c r="B26" s="38" t="s">
        <v>51</v>
      </c>
      <c r="C26" s="12" t="s">
        <v>50</v>
      </c>
      <c r="D26" s="16" t="b">
        <v>0</v>
      </c>
      <c r="E26" s="21" t="str">
        <f t="shared" si="0"/>
        <v/>
      </c>
      <c r="F26" t="s">
        <v>18</v>
      </c>
    </row>
    <row r="27" spans="1:7" x14ac:dyDescent="0.3">
      <c r="A27" s="43"/>
      <c r="B27" s="36" t="s">
        <v>53</v>
      </c>
      <c r="C27" t="s">
        <v>52</v>
      </c>
      <c r="D27" s="17" t="b">
        <v>0</v>
      </c>
      <c r="E27" s="21" t="str">
        <f t="shared" si="0"/>
        <v/>
      </c>
      <c r="F27" t="s">
        <v>18</v>
      </c>
    </row>
    <row r="28" spans="1:7" ht="15" thickBot="1" x14ac:dyDescent="0.35">
      <c r="A28" s="31" t="s">
        <v>7</v>
      </c>
      <c r="B28" s="39" t="s">
        <v>1</v>
      </c>
      <c r="C28" s="20" t="s">
        <v>10</v>
      </c>
      <c r="D28" s="19" t="b">
        <v>0</v>
      </c>
      <c r="E28" s="33" t="str">
        <f t="shared" si="0"/>
        <v/>
      </c>
      <c r="F28" t="s">
        <v>18</v>
      </c>
    </row>
    <row r="29" spans="1:7" ht="15" thickBot="1" x14ac:dyDescent="0.35">
      <c r="F29" t="s">
        <v>18</v>
      </c>
    </row>
    <row r="30" spans="1:7" ht="14.4" customHeight="1" x14ac:dyDescent="0.3">
      <c r="A30" s="28" t="s">
        <v>11</v>
      </c>
      <c r="B30" s="23" t="s">
        <v>12</v>
      </c>
      <c r="C30" s="8"/>
      <c r="D30" s="8"/>
      <c r="E30" s="24"/>
      <c r="F30" t="s">
        <v>18</v>
      </c>
    </row>
    <row r="31" spans="1:7" ht="15" thickBot="1" x14ac:dyDescent="0.35">
      <c r="A31" s="29" t="s">
        <v>19</v>
      </c>
      <c r="B31" s="25" t="s">
        <v>20</v>
      </c>
      <c r="C31" s="26"/>
      <c r="D31" s="26"/>
      <c r="E31" s="27" t="str">
        <f>IF(B31="None",Arrays!C3,(IF(B31="PowerShell",Arrays!C4,(IF(B31="Batch",Arrays!C5,Arrays!C3)))))</f>
        <v xml:space="preserve"> </v>
      </c>
      <c r="F31" t="s">
        <v>18</v>
      </c>
      <c r="G31" s="3"/>
    </row>
    <row r="32" spans="1:7" x14ac:dyDescent="0.3">
      <c r="G32" s="3"/>
    </row>
    <row r="33" spans="7:7" ht="14.4" customHeight="1" x14ac:dyDescent="0.3">
      <c r="G33" s="3"/>
    </row>
    <row r="34" spans="7:7" x14ac:dyDescent="0.3">
      <c r="G34" s="3"/>
    </row>
    <row r="35" spans="7:7" x14ac:dyDescent="0.3">
      <c r="G35" s="3"/>
    </row>
    <row r="36" spans="7:7" x14ac:dyDescent="0.3">
      <c r="G36" s="3"/>
    </row>
  </sheetData>
  <mergeCells count="7">
    <mergeCell ref="L6:M6"/>
    <mergeCell ref="A24:A27"/>
    <mergeCell ref="A3:A7"/>
    <mergeCell ref="A16:A23"/>
    <mergeCell ref="A10:A15"/>
    <mergeCell ref="A8:A9"/>
    <mergeCell ref="G2:G3"/>
  </mergeCells>
  <phoneticPr fontId="2" type="noConversion"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Check Box 23">
              <controlPr defaultSize="0" autoFill="0" autoLine="0" autoPict="0">
                <anchor moveWithCells="1">
                  <from>
                    <xdr:col>3</xdr:col>
                    <xdr:colOff>137160</xdr:colOff>
                    <xdr:row>2</xdr:row>
                    <xdr:rowOff>0</xdr:rowOff>
                  </from>
                  <to>
                    <xdr:col>3</xdr:col>
                    <xdr:colOff>388620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Check Box 24">
              <controlPr defaultSize="0" autoFill="0" autoLine="0" autoPict="0">
                <anchor moveWithCells="1">
                  <from>
                    <xdr:col>3</xdr:col>
                    <xdr:colOff>137160</xdr:colOff>
                    <xdr:row>2</xdr:row>
                    <xdr:rowOff>0</xdr:rowOff>
                  </from>
                  <to>
                    <xdr:col>3</xdr:col>
                    <xdr:colOff>388620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heck Box 25">
              <controlPr defaultSize="0" autoFill="0" autoLine="0" autoPict="0">
                <anchor moveWithCells="1">
                  <from>
                    <xdr:col>3</xdr:col>
                    <xdr:colOff>137160</xdr:colOff>
                    <xdr:row>2</xdr:row>
                    <xdr:rowOff>0</xdr:rowOff>
                  </from>
                  <to>
                    <xdr:col>3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Check Box 26">
              <controlPr defaultSize="0" autoFill="0" autoLine="0" autoPict="0">
                <anchor moveWithCells="1">
                  <from>
                    <xdr:col>3</xdr:col>
                    <xdr:colOff>137160</xdr:colOff>
                    <xdr:row>2</xdr:row>
                    <xdr:rowOff>175260</xdr:rowOff>
                  </from>
                  <to>
                    <xdr:col>3</xdr:col>
                    <xdr:colOff>388620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Check Box 27">
              <controlPr defaultSize="0" autoFill="0" autoLine="0" autoPict="0">
                <anchor moveWithCells="1">
                  <from>
                    <xdr:col>3</xdr:col>
                    <xdr:colOff>137160</xdr:colOff>
                    <xdr:row>3</xdr:row>
                    <xdr:rowOff>175260</xdr:rowOff>
                  </from>
                  <to>
                    <xdr:col>3</xdr:col>
                    <xdr:colOff>388620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Check Box 28">
              <controlPr defaultSize="0" autoFill="0" autoLine="0" autoPict="0">
                <anchor moveWithCells="1">
                  <from>
                    <xdr:col>3</xdr:col>
                    <xdr:colOff>137160</xdr:colOff>
                    <xdr:row>4</xdr:row>
                    <xdr:rowOff>175260</xdr:rowOff>
                  </from>
                  <to>
                    <xdr:col>3</xdr:col>
                    <xdr:colOff>388620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3</xdr:col>
                    <xdr:colOff>137160</xdr:colOff>
                    <xdr:row>6</xdr:row>
                    <xdr:rowOff>160020</xdr:rowOff>
                  </from>
                  <to>
                    <xdr:col>3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Check Box 31">
              <controlPr defaultSize="0" autoFill="0" autoLine="0" autoPict="0">
                <anchor moveWithCells="1">
                  <from>
                    <xdr:col>3</xdr:col>
                    <xdr:colOff>137160</xdr:colOff>
                    <xdr:row>7</xdr:row>
                    <xdr:rowOff>175260</xdr:rowOff>
                  </from>
                  <to>
                    <xdr:col>3</xdr:col>
                    <xdr:colOff>388620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Check Box 33">
              <controlPr defaultSize="0" autoFill="0" autoLine="0" autoPict="0">
                <anchor moveWithCells="1">
                  <from>
                    <xdr:col>3</xdr:col>
                    <xdr:colOff>137160</xdr:colOff>
                    <xdr:row>8</xdr:row>
                    <xdr:rowOff>175260</xdr:rowOff>
                  </from>
                  <to>
                    <xdr:col>3</xdr:col>
                    <xdr:colOff>388620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3" name="Check Box 34">
              <controlPr defaultSize="0" autoFill="0" autoLine="0" autoPict="0">
                <anchor moveWithCells="1">
                  <from>
                    <xdr:col>3</xdr:col>
                    <xdr:colOff>137160</xdr:colOff>
                    <xdr:row>10</xdr:row>
                    <xdr:rowOff>160020</xdr:rowOff>
                  </from>
                  <to>
                    <xdr:col>3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4" name="Check Box 35">
              <controlPr defaultSize="0" autoFill="0" autoLine="0" autoPict="0">
                <anchor moveWithCells="1">
                  <from>
                    <xdr:col>3</xdr:col>
                    <xdr:colOff>137160</xdr:colOff>
                    <xdr:row>11</xdr:row>
                    <xdr:rowOff>175260</xdr:rowOff>
                  </from>
                  <to>
                    <xdr:col>3</xdr:col>
                    <xdr:colOff>388620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5" name="Check Box 36">
              <controlPr defaultSize="0" autoFill="0" autoLine="0" autoPict="0">
                <anchor moveWithCells="1">
                  <from>
                    <xdr:col>3</xdr:col>
                    <xdr:colOff>137160</xdr:colOff>
                    <xdr:row>12</xdr:row>
                    <xdr:rowOff>175260</xdr:rowOff>
                  </from>
                  <to>
                    <xdr:col>3</xdr:col>
                    <xdr:colOff>388620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Check Box 37">
              <controlPr defaultSize="0" autoFill="0" autoLine="0" autoPict="0">
                <anchor moveWithCells="1">
                  <from>
                    <xdr:col>3</xdr:col>
                    <xdr:colOff>137160</xdr:colOff>
                    <xdr:row>13</xdr:row>
                    <xdr:rowOff>175260</xdr:rowOff>
                  </from>
                  <to>
                    <xdr:col>3</xdr:col>
                    <xdr:colOff>388620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Check Box 38">
              <controlPr defaultSize="0" autoFill="0" autoLine="0" autoPict="0">
                <anchor moveWithCells="1">
                  <from>
                    <xdr:col>3</xdr:col>
                    <xdr:colOff>137160</xdr:colOff>
                    <xdr:row>14</xdr:row>
                    <xdr:rowOff>182880</xdr:rowOff>
                  </from>
                  <to>
                    <xdr:col>3</xdr:col>
                    <xdr:colOff>388620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8" name="Check Box 39">
              <controlPr defaultSize="0" autoFill="0" autoLine="0" autoPict="0">
                <anchor moveWithCells="1">
                  <from>
                    <xdr:col>3</xdr:col>
                    <xdr:colOff>137160</xdr:colOff>
                    <xdr:row>15</xdr:row>
                    <xdr:rowOff>175260</xdr:rowOff>
                  </from>
                  <to>
                    <xdr:col>3</xdr:col>
                    <xdr:colOff>388620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9" name="Check Box 40">
              <controlPr defaultSize="0" autoFill="0" autoLine="0" autoPict="0">
                <anchor moveWithCells="1">
                  <from>
                    <xdr:col>3</xdr:col>
                    <xdr:colOff>137160</xdr:colOff>
                    <xdr:row>16</xdr:row>
                    <xdr:rowOff>175260</xdr:rowOff>
                  </from>
                  <to>
                    <xdr:col>3</xdr:col>
                    <xdr:colOff>388620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0" name="Check Box 41">
              <controlPr defaultSize="0" autoFill="0" autoLine="0" autoPict="0">
                <anchor moveWithCells="1">
                  <from>
                    <xdr:col>3</xdr:col>
                    <xdr:colOff>137160</xdr:colOff>
                    <xdr:row>17</xdr:row>
                    <xdr:rowOff>175260</xdr:rowOff>
                  </from>
                  <to>
                    <xdr:col>3</xdr:col>
                    <xdr:colOff>388620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1" name="Check Box 42">
              <controlPr defaultSize="0" autoFill="0" autoLine="0" autoPict="0">
                <anchor moveWithCells="1">
                  <from>
                    <xdr:col>3</xdr:col>
                    <xdr:colOff>137160</xdr:colOff>
                    <xdr:row>18</xdr:row>
                    <xdr:rowOff>175260</xdr:rowOff>
                  </from>
                  <to>
                    <xdr:col>3</xdr:col>
                    <xdr:colOff>388620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2" name="Check Box 43">
              <controlPr defaultSize="0" autoFill="0" autoLine="0" autoPict="0">
                <anchor moveWithCells="1">
                  <from>
                    <xdr:col>3</xdr:col>
                    <xdr:colOff>137160</xdr:colOff>
                    <xdr:row>19</xdr:row>
                    <xdr:rowOff>175260</xdr:rowOff>
                  </from>
                  <to>
                    <xdr:col>3</xdr:col>
                    <xdr:colOff>388620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3" name="Check Box 44">
              <controlPr defaultSize="0" autoFill="0" autoLine="0" autoPict="0">
                <anchor moveWithCells="1">
                  <from>
                    <xdr:col>3</xdr:col>
                    <xdr:colOff>137160</xdr:colOff>
                    <xdr:row>20</xdr:row>
                    <xdr:rowOff>175260</xdr:rowOff>
                  </from>
                  <to>
                    <xdr:col>3</xdr:col>
                    <xdr:colOff>388620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4" name="Check Box 45">
              <controlPr defaultSize="0" autoFill="0" autoLine="0" autoPict="0">
                <anchor moveWithCells="1">
                  <from>
                    <xdr:col>3</xdr:col>
                    <xdr:colOff>137160</xdr:colOff>
                    <xdr:row>21</xdr:row>
                    <xdr:rowOff>175260</xdr:rowOff>
                  </from>
                  <to>
                    <xdr:col>3</xdr:col>
                    <xdr:colOff>388620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5" name="Check Box 46">
              <controlPr defaultSize="0" autoFill="0" autoLine="0" autoPict="0">
                <anchor moveWithCells="1">
                  <from>
                    <xdr:col>3</xdr:col>
                    <xdr:colOff>137160</xdr:colOff>
                    <xdr:row>22</xdr:row>
                    <xdr:rowOff>175260</xdr:rowOff>
                  </from>
                  <to>
                    <xdr:col>3</xdr:col>
                    <xdr:colOff>388620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6" name="Check Box 47">
              <controlPr defaultSize="0" autoFill="0" autoLine="0" autoPict="0">
                <anchor moveWithCells="1">
                  <from>
                    <xdr:col>3</xdr:col>
                    <xdr:colOff>137160</xdr:colOff>
                    <xdr:row>24</xdr:row>
                    <xdr:rowOff>175260</xdr:rowOff>
                  </from>
                  <to>
                    <xdr:col>3</xdr:col>
                    <xdr:colOff>388620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7" name="Check Box 48">
              <controlPr defaultSize="0" autoFill="0" autoLine="0" autoPict="0">
                <anchor moveWithCells="1">
                  <from>
                    <xdr:col>3</xdr:col>
                    <xdr:colOff>137160</xdr:colOff>
                    <xdr:row>25</xdr:row>
                    <xdr:rowOff>0</xdr:rowOff>
                  </from>
                  <to>
                    <xdr:col>3</xdr:col>
                    <xdr:colOff>388620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8" name="Check Box 49">
              <controlPr defaultSize="0" autoFill="0" autoLine="0" autoPict="0">
                <anchor moveWithCells="1">
                  <from>
                    <xdr:col>3</xdr:col>
                    <xdr:colOff>137160</xdr:colOff>
                    <xdr:row>25</xdr:row>
                    <xdr:rowOff>175260</xdr:rowOff>
                  </from>
                  <to>
                    <xdr:col>3</xdr:col>
                    <xdr:colOff>388620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9" name="Check Box 50">
              <controlPr defaultSize="0" autoFill="0" autoLine="0" autoPict="0">
                <anchor moveWithCells="1">
                  <from>
                    <xdr:col>3</xdr:col>
                    <xdr:colOff>137160</xdr:colOff>
                    <xdr:row>26</xdr:row>
                    <xdr:rowOff>175260</xdr:rowOff>
                  </from>
                  <to>
                    <xdr:col>3</xdr:col>
                    <xdr:colOff>388620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0" name="Check Box 51">
              <controlPr defaultSize="0" autoFill="0" autoLine="0" autoPict="0">
                <anchor moveWithCells="1">
                  <from>
                    <xdr:col>3</xdr:col>
                    <xdr:colOff>137160</xdr:colOff>
                    <xdr:row>27</xdr:row>
                    <xdr:rowOff>0</xdr:rowOff>
                  </from>
                  <to>
                    <xdr:col>3</xdr:col>
                    <xdr:colOff>388620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1" name="Check Box 53">
              <controlPr defaultSize="0" autoFill="0" autoLine="0" autoPict="0">
                <anchor moveWithCells="1">
                  <from>
                    <xdr:col>3</xdr:col>
                    <xdr:colOff>137160</xdr:colOff>
                    <xdr:row>23</xdr:row>
                    <xdr:rowOff>167640</xdr:rowOff>
                  </from>
                  <to>
                    <xdr:col>3</xdr:col>
                    <xdr:colOff>388620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2" name="Check Box 57">
              <controlPr defaultSize="0" autoFill="0" autoLine="0" autoPict="0">
                <anchor moveWithCells="1">
                  <from>
                    <xdr:col>3</xdr:col>
                    <xdr:colOff>137160</xdr:colOff>
                    <xdr:row>9</xdr:row>
                    <xdr:rowOff>167640</xdr:rowOff>
                  </from>
                  <to>
                    <xdr:col>3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3" name="Check Box 59">
              <controlPr defaultSize="0" autoFill="0" autoLine="0" autoPict="0">
                <anchor moveWithCells="1">
                  <from>
                    <xdr:col>3</xdr:col>
                    <xdr:colOff>137160</xdr:colOff>
                    <xdr:row>5</xdr:row>
                    <xdr:rowOff>160020</xdr:rowOff>
                  </from>
                  <to>
                    <xdr:col>3</xdr:col>
                    <xdr:colOff>388620</xdr:colOff>
                    <xdr:row>7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2ECA0F-1B53-4D01-8CE9-D64122BC4A38}">
          <x14:formula1>
            <xm:f>Arrays!$A$3:$A$5</xm:f>
          </x14:formula1>
          <xm:sqref>B31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1980C-22C6-46E2-B63B-681DB3440FD8}">
  <dimension ref="A1:D5"/>
  <sheetViews>
    <sheetView workbookViewId="0">
      <selection activeCell="C5" sqref="C5"/>
    </sheetView>
  </sheetViews>
  <sheetFormatPr defaultRowHeight="14.4" x14ac:dyDescent="0.3"/>
  <cols>
    <col min="1" max="1" width="10.44140625" customWidth="1"/>
    <col min="3" max="3" width="9.88671875" customWidth="1"/>
  </cols>
  <sheetData>
    <row r="1" spans="1:4" x14ac:dyDescent="0.3">
      <c r="A1" s="49" t="s">
        <v>23</v>
      </c>
      <c r="B1" s="49"/>
      <c r="C1" s="49"/>
      <c r="D1" s="49"/>
    </row>
    <row r="2" spans="1:4" x14ac:dyDescent="0.3">
      <c r="A2" t="s">
        <v>24</v>
      </c>
      <c r="B2" t="s">
        <v>25</v>
      </c>
      <c r="C2" t="s">
        <v>26</v>
      </c>
    </row>
    <row r="3" spans="1:4" x14ac:dyDescent="0.3">
      <c r="A3" t="s">
        <v>20</v>
      </c>
      <c r="C3" t="s">
        <v>18</v>
      </c>
    </row>
    <row r="4" spans="1:4" x14ac:dyDescent="0.3">
      <c r="A4" t="s">
        <v>16</v>
      </c>
      <c r="B4" t="s">
        <v>21</v>
      </c>
      <c r="C4" t="str">
        <f>_xlfn.TEXTJOIN(Arrays!B4,TRUE,'Package Selection'!$E$3:$E$28)</f>
        <v/>
      </c>
    </row>
    <row r="5" spans="1:4" x14ac:dyDescent="0.3">
      <c r="A5" t="s">
        <v>17</v>
      </c>
      <c r="B5" t="s">
        <v>22</v>
      </c>
      <c r="C5" t="str">
        <f>_xlfn.TEXTJOIN(Arrays!B5,TRUE,'Package Selection'!$E$3:$E$28)</f>
        <v/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Package Selection</vt:lpstr>
      <vt:lpstr>Arrays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Rubezin</dc:creator>
  <cp:lastModifiedBy>Misha Rubezin</cp:lastModifiedBy>
  <dcterms:created xsi:type="dcterms:W3CDTF">2022-02-22T19:49:44Z</dcterms:created>
  <dcterms:modified xsi:type="dcterms:W3CDTF">2024-07-21T19:01:36Z</dcterms:modified>
</cp:coreProperties>
</file>